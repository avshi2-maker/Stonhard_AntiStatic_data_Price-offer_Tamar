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e0f5f2f764f60c/תמר קיסריה 400 מטר אפוקסי/"/>
    </mc:Choice>
  </mc:AlternateContent>
  <xr:revisionPtr revIDLastSave="44" documentId="13_ncr:1_{E4218856-F084-4F8E-B3A7-F7EF83354877}" xr6:coauthVersionLast="47" xr6:coauthVersionMax="47" xr10:uidLastSave="{CD72EC23-3DA7-4191-B219-365819A68F39}"/>
  <bookViews>
    <workbookView xWindow="34785" yWindow="7575" windowWidth="21600" windowHeight="11295" activeTab="2" xr2:uid="{A1ED8CC5-9BC5-457A-A39F-E07CEFC83A18}"/>
  </bookViews>
  <sheets>
    <sheet name="תמר 17 פברואר 2926" sheetId="2" r:id="rId1"/>
    <sheet name="תחשיב ראשון 22 נובמבר" sheetId="1" r:id="rId2"/>
    <sheet name="pic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H6" i="2"/>
  <c r="F7" i="2"/>
  <c r="F6" i="2"/>
  <c r="I6" i="2" s="1"/>
  <c r="E3" i="2"/>
  <c r="F3" i="2" s="1"/>
  <c r="E4" i="2"/>
  <c r="F4" i="2" s="1"/>
  <c r="E5" i="2"/>
  <c r="F5" i="2" s="1"/>
  <c r="J11" i="1"/>
  <c r="H11" i="1"/>
  <c r="E4" i="1"/>
  <c r="F4" i="1" s="1"/>
  <c r="H4" i="1" s="1"/>
  <c r="E5" i="1"/>
  <c r="F5" i="1" s="1"/>
  <c r="H5" i="1" s="1"/>
  <c r="F7" i="1"/>
  <c r="H7" i="1" s="1"/>
  <c r="F6" i="1"/>
  <c r="H6" i="1" s="1"/>
  <c r="E3" i="1"/>
  <c r="F3" i="1" s="1"/>
  <c r="H7" i="2" l="1"/>
  <c r="I7" i="2" s="1"/>
  <c r="H3" i="2"/>
  <c r="I3" i="2" s="1"/>
  <c r="H5" i="2"/>
  <c r="I5" i="2" s="1"/>
  <c r="H4" i="2"/>
  <c r="I4" i="2" s="1"/>
  <c r="H3" i="1"/>
  <c r="H8" i="1" s="1"/>
  <c r="H13" i="1" l="1"/>
  <c r="I13" i="1" s="1"/>
  <c r="J13" i="1" s="1"/>
  <c r="J16" i="1" s="1"/>
  <c r="K16" i="1" s="1"/>
  <c r="I8" i="2"/>
  <c r="I9" i="2" s="1"/>
  <c r="I13" i="2" l="1"/>
  <c r="I14" i="2" s="1"/>
  <c r="I15" i="2" s="1"/>
  <c r="I17" i="2" s="1"/>
  <c r="I18" i="2" s="1"/>
</calcChain>
</file>

<file path=xl/sharedStrings.xml><?xml version="1.0" encoding="utf-8"?>
<sst xmlns="http://schemas.openxmlformats.org/spreadsheetml/2006/main" count="45" uniqueCount="33">
  <si>
    <t>Stoncld gs</t>
  </si>
  <si>
    <t>std primer</t>
  </si>
  <si>
    <t>stonkote ht4</t>
  </si>
  <si>
    <t>area</t>
  </si>
  <si>
    <t>Total</t>
  </si>
  <si>
    <t>Stonset tg5</t>
  </si>
  <si>
    <t>Stonflex mp7</t>
  </si>
  <si>
    <t>extra</t>
  </si>
  <si>
    <t>Tools</t>
  </si>
  <si>
    <t>Frieght</t>
  </si>
  <si>
    <t>labor</t>
  </si>
  <si>
    <t>שקל יורו</t>
  </si>
  <si>
    <t>general insurance</t>
  </si>
  <si>
    <t>Price offer</t>
  </si>
  <si>
    <t>profit</t>
  </si>
  <si>
    <t>list 2019</t>
  </si>
  <si>
    <t>Total cost</t>
  </si>
  <si>
    <t>extraVOLUME</t>
  </si>
  <si>
    <t>הצעה ללקוח</t>
  </si>
  <si>
    <t>Frieght&amp; custom</t>
  </si>
  <si>
    <t>Cost sq.mt</t>
  </si>
  <si>
    <t>HTprimer</t>
  </si>
  <si>
    <t>order</t>
  </si>
  <si>
    <t>addition</t>
  </si>
  <si>
    <t>genera l&amp; insurance</t>
  </si>
  <si>
    <t>standard offer</t>
  </si>
  <si>
    <t>Superflat</t>
  </si>
  <si>
    <t>pictch</t>
  </si>
  <si>
    <t>Heavy_duty.png</t>
  </si>
  <si>
    <t>file name</t>
  </si>
  <si>
    <t>file number</t>
  </si>
  <si>
    <t>production_with_yellow_safety.png</t>
  </si>
  <si>
    <t>Joint_Treatment.png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</si>
</sst>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₪&quot;* #,##0.00_-;\-&quot;₪&quot;* #,##0.00_-;_-&quot;₪&quot;* &quot;-&quot;??_-;_-@_-"/>
    <numFmt numFmtId="164" formatCode="_-[$€-2]\ * #,##0.00_-;\-[$€-2]\ * #,##0.00_-;_-[$€-2]\ * &quot;-&quot;??_-;_-@_-"/>
    <numFmt numFmtId="165" formatCode="#,##0.00_ ;\-#,##0.00\ "/>
    <numFmt numFmtId="166" formatCode="_-[$€-2]\ * #,##0_-;\-[$€-2]\ * #,##0_-;_-[$€-2]\ * &quot;-&quot;??_-;_-@_-"/>
    <numFmt numFmtId="167" formatCode="_-&quot;₪&quot;* #,##0_-;\-&quot;₪&quot;* #,##0_-;_-&quot;₪&quot;* &quot;-&quot;??_-;_-@_-"/>
    <numFmt numFmtId="168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16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7" fontId="0" fillId="2" borderId="0" xfId="0" applyNumberFormat="1" applyFill="1"/>
    <xf numFmtId="166" fontId="0" fillId="2" borderId="0" xfId="0" applyNumberFormat="1" applyFill="1"/>
    <xf numFmtId="164" fontId="0" fillId="2" borderId="0" xfId="0" applyNumberFormat="1" applyFill="1"/>
    <xf numFmtId="44" fontId="0" fillId="2" borderId="0" xfId="0" applyNumberFormat="1" applyFill="1"/>
    <xf numFmtId="168" fontId="0" fillId="0" borderId="0" xfId="0" applyNumberFormat="1"/>
    <xf numFmtId="168" fontId="2" fillId="3" borderId="0" xfId="0" applyNumberFormat="1" applyFont="1" applyFill="1"/>
    <xf numFmtId="44" fontId="0" fillId="0" borderId="0" xfId="0" applyNumberFormat="1"/>
    <xf numFmtId="2" fontId="0" fillId="0" borderId="0" xfId="0" applyNumberFormat="1"/>
    <xf numFmtId="14" fontId="0" fillId="0" borderId="0" xfId="0" applyNumberFormat="1"/>
    <xf numFmtId="0" fontId="4" fillId="2" borderId="0" xfId="0" applyFont="1" applyFill="1"/>
    <xf numFmtId="164" fontId="4" fillId="2" borderId="0" xfId="0" applyNumberFormat="1" applyFont="1" applyFill="1"/>
    <xf numFmtId="164" fontId="3" fillId="0" borderId="0" xfId="0" applyNumberFormat="1" applyFont="1"/>
    <xf numFmtId="44" fontId="5" fillId="2" borderId="0" xfId="0" applyNumberFormat="1" applyFont="1" applyFill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0124-8EB4-48D6-9D1A-168CBAFF03C9}">
  <dimension ref="A1:R23"/>
  <sheetViews>
    <sheetView workbookViewId="0">
      <selection activeCell="D20" sqref="D20:E20"/>
    </sheetView>
  </sheetViews>
  <sheetFormatPr defaultRowHeight="15" x14ac:dyDescent="0.25"/>
  <cols>
    <col min="1" max="1" width="16.85546875" bestFit="1" customWidth="1"/>
    <col min="2" max="2" width="13.140625" bestFit="1" customWidth="1"/>
    <col min="3" max="3" width="13.7109375" bestFit="1" customWidth="1"/>
    <col min="4" max="5" width="13.140625" bestFit="1" customWidth="1"/>
    <col min="6" max="6" width="12" bestFit="1" customWidth="1"/>
    <col min="7" max="7" width="13.28515625" bestFit="1" customWidth="1"/>
    <col min="8" max="8" width="18.85546875" bestFit="1" customWidth="1"/>
    <col min="9" max="9" width="19.7109375" bestFit="1" customWidth="1"/>
    <col min="10" max="10" width="15.140625" bestFit="1" customWidth="1"/>
    <col min="11" max="11" width="10.5703125" bestFit="1" customWidth="1"/>
    <col min="12" max="12" width="13.28515625" bestFit="1" customWidth="1"/>
    <col min="13" max="13" width="12.140625" bestFit="1" customWidth="1"/>
  </cols>
  <sheetData>
    <row r="1" spans="1:18" x14ac:dyDescent="0.25">
      <c r="A1" t="s">
        <v>3</v>
      </c>
      <c r="B1">
        <v>400</v>
      </c>
      <c r="F1" t="s">
        <v>4</v>
      </c>
      <c r="G1" t="s">
        <v>17</v>
      </c>
      <c r="H1" t="s">
        <v>23</v>
      </c>
      <c r="I1" t="s">
        <v>22</v>
      </c>
      <c r="J1">
        <v>3.63</v>
      </c>
      <c r="K1" t="s">
        <v>11</v>
      </c>
      <c r="L1" s="17">
        <v>46065</v>
      </c>
    </row>
    <row r="2" spans="1:18" x14ac:dyDescent="0.25">
      <c r="B2">
        <v>2026</v>
      </c>
      <c r="L2" s="5"/>
    </row>
    <row r="3" spans="1:18" x14ac:dyDescent="0.25">
      <c r="A3" t="s">
        <v>0</v>
      </c>
      <c r="B3" s="1">
        <v>450</v>
      </c>
      <c r="C3">
        <v>16.5</v>
      </c>
      <c r="E3" s="16">
        <f>B3/C3</f>
        <v>27.272727272727273</v>
      </c>
      <c r="F3" s="1">
        <f>E3*$B$1</f>
        <v>10909.09090909091</v>
      </c>
      <c r="G3" s="2">
        <v>0.1</v>
      </c>
      <c r="H3" s="1">
        <f>F3*G3</f>
        <v>1090.909090909091</v>
      </c>
      <c r="I3" s="13">
        <f>F3+H3</f>
        <v>12000</v>
      </c>
    </row>
    <row r="4" spans="1:18" x14ac:dyDescent="0.25">
      <c r="A4" t="s">
        <v>21</v>
      </c>
      <c r="B4" s="1">
        <v>200</v>
      </c>
      <c r="C4">
        <v>55.75</v>
      </c>
      <c r="E4" s="16">
        <f t="shared" ref="E4:E5" si="0">B4/C4</f>
        <v>3.5874439461883409</v>
      </c>
      <c r="F4" s="1">
        <f t="shared" ref="F4:F5" si="1">E4*$B$1</f>
        <v>1434.9775784753365</v>
      </c>
      <c r="G4" s="3">
        <v>1</v>
      </c>
      <c r="H4" s="1">
        <f>F4*G4</f>
        <v>1434.9775784753365</v>
      </c>
      <c r="I4" s="13">
        <f>F4+H4</f>
        <v>2869.955156950673</v>
      </c>
    </row>
    <row r="5" spans="1:18" x14ac:dyDescent="0.25">
      <c r="A5" t="s">
        <v>2</v>
      </c>
      <c r="B5" s="1">
        <v>200</v>
      </c>
      <c r="C5" s="4">
        <v>37.159999999999997</v>
      </c>
      <c r="E5" s="16">
        <f t="shared" si="0"/>
        <v>5.3821313240043063</v>
      </c>
      <c r="F5" s="1">
        <f t="shared" si="1"/>
        <v>2152.8525296017224</v>
      </c>
      <c r="G5" s="2">
        <v>1</v>
      </c>
      <c r="H5" s="1">
        <f>F5*G5</f>
        <v>2152.8525296017224</v>
      </c>
      <c r="I5" s="13">
        <f>F5+H5</f>
        <v>4305.7050592034448</v>
      </c>
    </row>
    <row r="6" spans="1:18" x14ac:dyDescent="0.25">
      <c r="A6" t="s">
        <v>5</v>
      </c>
      <c r="B6" s="1">
        <v>150</v>
      </c>
      <c r="C6">
        <v>5</v>
      </c>
      <c r="F6" s="1">
        <f>B6*C6</f>
        <v>750</v>
      </c>
      <c r="G6" s="2">
        <v>0.5</v>
      </c>
      <c r="H6" s="1">
        <f>F6*G6</f>
        <v>375</v>
      </c>
      <c r="I6" s="13">
        <f t="shared" ref="I6:I7" si="2">F6+H6</f>
        <v>1125</v>
      </c>
    </row>
    <row r="7" spans="1:18" x14ac:dyDescent="0.25">
      <c r="A7" t="s">
        <v>6</v>
      </c>
      <c r="B7" s="1">
        <v>100</v>
      </c>
      <c r="C7">
        <v>2</v>
      </c>
      <c r="F7" s="1">
        <f>B7*C7</f>
        <v>200</v>
      </c>
      <c r="G7" s="2">
        <v>0.5</v>
      </c>
      <c r="H7" s="1">
        <f>F7*G7</f>
        <v>100</v>
      </c>
      <c r="I7" s="13">
        <f t="shared" si="2"/>
        <v>300</v>
      </c>
    </row>
    <row r="8" spans="1:18" x14ac:dyDescent="0.25">
      <c r="B8" s="1"/>
      <c r="F8" s="1"/>
      <c r="I8" s="1">
        <f>SUM(I3:I7)</f>
        <v>20600.660216154116</v>
      </c>
    </row>
    <row r="9" spans="1:18" x14ac:dyDescent="0.25">
      <c r="A9" t="s">
        <v>19</v>
      </c>
      <c r="B9" s="2">
        <v>0.25</v>
      </c>
      <c r="I9" s="1">
        <f>I8*B9</f>
        <v>5150.165054038529</v>
      </c>
    </row>
    <row r="10" spans="1:18" x14ac:dyDescent="0.25">
      <c r="A10" t="s">
        <v>8</v>
      </c>
      <c r="I10" s="1">
        <v>10000</v>
      </c>
    </row>
    <row r="11" spans="1:18" x14ac:dyDescent="0.25">
      <c r="A11" t="s">
        <v>10</v>
      </c>
      <c r="B11">
        <v>50</v>
      </c>
      <c r="I11" s="1">
        <v>30000</v>
      </c>
    </row>
    <row r="12" spans="1:18" x14ac:dyDescent="0.25">
      <c r="A12" t="s">
        <v>24</v>
      </c>
      <c r="I12" s="1">
        <v>30000</v>
      </c>
    </row>
    <row r="13" spans="1:18" x14ac:dyDescent="0.25">
      <c r="A13" s="8" t="s">
        <v>16</v>
      </c>
      <c r="B13" s="8"/>
      <c r="C13" s="8"/>
      <c r="D13" s="8"/>
      <c r="E13" s="8"/>
      <c r="F13" s="8"/>
      <c r="G13" s="8"/>
      <c r="I13" s="1">
        <f>SUM(I8:I12)</f>
        <v>95750.825270192639</v>
      </c>
    </row>
    <row r="14" spans="1:18" x14ac:dyDescent="0.25">
      <c r="A14" t="s">
        <v>14</v>
      </c>
      <c r="B14" s="2">
        <v>1</v>
      </c>
      <c r="I14" s="1">
        <f>I13*B14</f>
        <v>95750.825270192639</v>
      </c>
      <c r="J14" s="13"/>
      <c r="R14" s="13"/>
    </row>
    <row r="15" spans="1:18" ht="21" x14ac:dyDescent="0.35">
      <c r="A15" s="18" t="s">
        <v>13</v>
      </c>
      <c r="B15" s="18"/>
      <c r="C15" s="18"/>
      <c r="D15" s="18"/>
      <c r="E15" s="18"/>
      <c r="F15" s="18"/>
      <c r="G15" s="18"/>
      <c r="H15" s="18"/>
      <c r="I15" s="19">
        <f>SUM(I13:I14)</f>
        <v>191501.65054038528</v>
      </c>
      <c r="J15" s="13"/>
      <c r="K15" s="7"/>
      <c r="L15" s="7"/>
      <c r="R15" s="13"/>
    </row>
    <row r="16" spans="1:18" x14ac:dyDescent="0.25">
      <c r="I16" t="s">
        <v>20</v>
      </c>
      <c r="K16" s="15"/>
      <c r="R16" s="13"/>
    </row>
    <row r="17" spans="3:18" x14ac:dyDescent="0.25">
      <c r="I17" s="20">
        <f>I15/B1</f>
        <v>478.75412635096319</v>
      </c>
      <c r="R17" s="13"/>
    </row>
    <row r="18" spans="3:18" ht="21" x14ac:dyDescent="0.35">
      <c r="I18" s="21">
        <f>I17*J1</f>
        <v>1737.8774786539964</v>
      </c>
      <c r="J18" s="22" t="s">
        <v>18</v>
      </c>
      <c r="K18" s="7"/>
      <c r="R18" s="13"/>
    </row>
    <row r="19" spans="3:18" x14ac:dyDescent="0.25">
      <c r="C19" t="s">
        <v>25</v>
      </c>
      <c r="D19" t="s">
        <v>26</v>
      </c>
      <c r="E19" t="s">
        <v>27</v>
      </c>
      <c r="R19" s="13"/>
    </row>
    <row r="20" spans="3:18" x14ac:dyDescent="0.25">
      <c r="C20" s="1">
        <f>I15</f>
        <v>191501.65054038528</v>
      </c>
      <c r="D20" s="1">
        <v>256500</v>
      </c>
      <c r="E20" s="1">
        <v>295500</v>
      </c>
      <c r="J20" s="13"/>
      <c r="R20" s="13"/>
    </row>
    <row r="21" spans="3:18" x14ac:dyDescent="0.25">
      <c r="J21" s="13"/>
      <c r="R21" s="13"/>
    </row>
    <row r="22" spans="3:18" x14ac:dyDescent="0.25">
      <c r="J22" s="14"/>
      <c r="R22" s="13"/>
    </row>
    <row r="23" spans="3:18" x14ac:dyDescent="0.25">
      <c r="R23" s="1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105A-0D23-4AEA-AE53-32C551DEF0C3}">
  <dimension ref="A1:K16"/>
  <sheetViews>
    <sheetView workbookViewId="0">
      <selection activeCell="A3" sqref="A3:H8"/>
    </sheetView>
  </sheetViews>
  <sheetFormatPr defaultRowHeight="15" x14ac:dyDescent="0.25"/>
  <cols>
    <col min="1" max="1" width="12.7109375" bestFit="1" customWidth="1"/>
    <col min="2" max="2" width="9.42578125" bestFit="1" customWidth="1"/>
    <col min="6" max="6" width="12" bestFit="1" customWidth="1"/>
    <col min="8" max="8" width="13.140625" bestFit="1" customWidth="1"/>
    <col min="10" max="11" width="13.28515625" bestFit="1" customWidth="1"/>
  </cols>
  <sheetData>
    <row r="1" spans="1:11" x14ac:dyDescent="0.25">
      <c r="A1" t="s">
        <v>3</v>
      </c>
      <c r="B1">
        <v>1200</v>
      </c>
      <c r="F1" t="s">
        <v>4</v>
      </c>
      <c r="G1" t="s">
        <v>7</v>
      </c>
      <c r="I1">
        <v>3.57</v>
      </c>
      <c r="J1" t="s">
        <v>11</v>
      </c>
      <c r="K1" s="5">
        <v>44887</v>
      </c>
    </row>
    <row r="2" spans="1:11" x14ac:dyDescent="0.25">
      <c r="B2" t="s">
        <v>15</v>
      </c>
      <c r="K2" s="5"/>
    </row>
    <row r="3" spans="1:11" x14ac:dyDescent="0.25">
      <c r="A3" t="s">
        <v>0</v>
      </c>
      <c r="B3" s="1">
        <v>264.06</v>
      </c>
      <c r="C3">
        <v>16.5</v>
      </c>
      <c r="E3" s="1">
        <f>B3/C3</f>
        <v>16.003636363636364</v>
      </c>
      <c r="F3" s="1">
        <f>E3*$B$1</f>
        <v>19204.363636363636</v>
      </c>
      <c r="G3" s="2">
        <v>0.1</v>
      </c>
      <c r="H3" s="6">
        <f>$F$3*G3+F3</f>
        <v>21124.799999999999</v>
      </c>
    </row>
    <row r="4" spans="1:11" x14ac:dyDescent="0.25">
      <c r="A4" t="s">
        <v>1</v>
      </c>
      <c r="B4" s="1">
        <v>102.09</v>
      </c>
      <c r="C4">
        <v>55.75</v>
      </c>
      <c r="E4" s="1">
        <f t="shared" ref="E4:E5" si="0">B4/C4</f>
        <v>1.8312107623318385</v>
      </c>
      <c r="F4" s="1">
        <f t="shared" ref="F4:F5" si="1">E4*$B$1</f>
        <v>2197.4529147982062</v>
      </c>
      <c r="G4" s="3">
        <v>1</v>
      </c>
      <c r="H4" s="6">
        <f>F4*G4+F4</f>
        <v>4394.9058295964123</v>
      </c>
    </row>
    <row r="5" spans="1:11" x14ac:dyDescent="0.25">
      <c r="A5" t="s">
        <v>2</v>
      </c>
      <c r="B5" s="1">
        <v>92.45</v>
      </c>
      <c r="C5" s="4">
        <v>37.159999999999997</v>
      </c>
      <c r="E5" s="1">
        <f t="shared" si="0"/>
        <v>2.4878902045209905</v>
      </c>
      <c r="F5" s="1">
        <f t="shared" si="1"/>
        <v>2985.4682454251888</v>
      </c>
      <c r="G5" s="2">
        <v>1</v>
      </c>
      <c r="H5" s="6">
        <f>F5*G5+F5</f>
        <v>5970.9364908503776</v>
      </c>
    </row>
    <row r="6" spans="1:11" x14ac:dyDescent="0.25">
      <c r="A6" t="s">
        <v>5</v>
      </c>
      <c r="B6" s="1">
        <v>86.88</v>
      </c>
      <c r="C6">
        <v>10</v>
      </c>
      <c r="F6" s="1">
        <f>B6*C6</f>
        <v>868.8</v>
      </c>
      <c r="H6" s="6">
        <f>F6</f>
        <v>868.8</v>
      </c>
    </row>
    <row r="7" spans="1:11" x14ac:dyDescent="0.25">
      <c r="A7" t="s">
        <v>6</v>
      </c>
      <c r="B7" s="1">
        <v>41.06</v>
      </c>
      <c r="C7">
        <v>10</v>
      </c>
      <c r="F7" s="1">
        <f>B7*C7</f>
        <v>410.6</v>
      </c>
      <c r="H7" s="6">
        <f>F7</f>
        <v>410.6</v>
      </c>
    </row>
    <row r="8" spans="1:11" x14ac:dyDescent="0.25">
      <c r="H8" s="6">
        <f>SUM(H3:H7)</f>
        <v>32770.042320446788</v>
      </c>
    </row>
    <row r="9" spans="1:11" x14ac:dyDescent="0.25">
      <c r="A9" t="s">
        <v>9</v>
      </c>
      <c r="H9" s="6">
        <v>5000</v>
      </c>
    </row>
    <row r="10" spans="1:11" x14ac:dyDescent="0.25">
      <c r="A10" t="s">
        <v>8</v>
      </c>
      <c r="H10" s="6">
        <v>10000</v>
      </c>
    </row>
    <row r="11" spans="1:11" x14ac:dyDescent="0.25">
      <c r="A11" t="s">
        <v>10</v>
      </c>
      <c r="B11">
        <v>50</v>
      </c>
      <c r="H11" s="6">
        <f>B11*B1</f>
        <v>60000</v>
      </c>
      <c r="J11" s="9">
        <f>H11*I1</f>
        <v>214200</v>
      </c>
    </row>
    <row r="12" spans="1:11" x14ac:dyDescent="0.25">
      <c r="A12" t="s">
        <v>12</v>
      </c>
      <c r="H12" s="6">
        <v>10000</v>
      </c>
    </row>
    <row r="13" spans="1:11" x14ac:dyDescent="0.25">
      <c r="A13" s="8" t="s">
        <v>16</v>
      </c>
      <c r="B13" s="8"/>
      <c r="C13" s="8"/>
      <c r="D13" s="8"/>
      <c r="E13" s="8"/>
      <c r="F13" s="8"/>
      <c r="G13" s="8"/>
      <c r="H13" s="10">
        <f>SUM(H8:H12)</f>
        <v>117770.04232044678</v>
      </c>
      <c r="I13" s="11">
        <f>H13/B1</f>
        <v>98.141701933705647</v>
      </c>
      <c r="J13" s="12">
        <f>I13*I1</f>
        <v>350.36587590332914</v>
      </c>
    </row>
    <row r="15" spans="1:11" x14ac:dyDescent="0.25">
      <c r="A15" t="s">
        <v>13</v>
      </c>
      <c r="J15" s="7">
        <v>1000</v>
      </c>
      <c r="K15" s="7"/>
    </row>
    <row r="16" spans="1:11" x14ac:dyDescent="0.25">
      <c r="A16" s="8" t="s">
        <v>14</v>
      </c>
      <c r="B16" s="8"/>
      <c r="C16" s="8"/>
      <c r="D16" s="8"/>
      <c r="E16" s="8"/>
      <c r="F16" s="8"/>
      <c r="G16" s="8"/>
      <c r="H16" s="8"/>
      <c r="I16" s="8"/>
      <c r="J16" s="12">
        <f>J15-J13</f>
        <v>649.6341240966708</v>
      </c>
      <c r="K16" s="9">
        <f>J16*B1</f>
        <v>779560.94891600497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1D53-7BDE-41AD-B874-130DC6D3E4EA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33.8554687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28</v>
      </c>
      <c r="B2">
        <v>1</v>
      </c>
    </row>
    <row r="3" spans="1:2" x14ac:dyDescent="0.25">
      <c r="A3" t="s">
        <v>31</v>
      </c>
      <c r="B3">
        <v>2</v>
      </c>
    </row>
    <row r="4" spans="1:2" x14ac:dyDescent="0.25">
      <c r="A4" t="s">
        <v>32</v>
      </c>
      <c r="B4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25EFAE8F3E1B4F9B91347709149CBF" ma:contentTypeVersion="7" ma:contentTypeDescription="Create a new document." ma:contentTypeScope="" ma:versionID="8e676be3138a43256d44c87953da05b5">
  <xsd:schema xmlns:xsd="http://www.w3.org/2001/XMLSchema" xmlns:xs="http://www.w3.org/2001/XMLSchema" xmlns:p="http://schemas.microsoft.com/office/2006/metadata/properties" xmlns:ns3="f155db57-2358-4dbf-b4fe-a62b93c5e56a" xmlns:ns4="b404164b-3e3b-412b-9296-67300517ec10" targetNamespace="http://schemas.microsoft.com/office/2006/metadata/properties" ma:root="true" ma:fieldsID="67eb7dc78de0c208f1bfb9dcbf858fb2" ns3:_="" ns4:_="">
    <xsd:import namespace="f155db57-2358-4dbf-b4fe-a62b93c5e56a"/>
    <xsd:import namespace="b404164b-3e3b-412b-9296-67300517ec1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5db57-2358-4dbf-b4fe-a62b93c5e5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4164b-3e3b-412b-9296-67300517e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D2238-781C-4504-A18A-145FBE10D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5db57-2358-4dbf-b4fe-a62b93c5e56a"/>
    <ds:schemaRef ds:uri="b404164b-3e3b-412b-9296-67300517e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DD343F-5CEB-4E8B-8059-05FE7297C468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b404164b-3e3b-412b-9296-67300517ec10"/>
    <ds:schemaRef ds:uri="f155db57-2358-4dbf-b4fe-a62b93c5e56a"/>
  </ds:schemaRefs>
</ds:datastoreItem>
</file>

<file path=customXml/itemProps3.xml><?xml version="1.0" encoding="utf-8"?>
<ds:datastoreItem xmlns:ds="http://schemas.openxmlformats.org/officeDocument/2006/customXml" ds:itemID="{F3C4A251-0FAF-425F-93AA-AD7B1FC921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תמר 17 פברואר 2926</vt:lpstr>
      <vt:lpstr>תחשיב ראשון 22 נובמבר</vt:lpstr>
      <vt:lpstr>pictures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Avshi Sapir</dc:creator>
  <cp:lastModifiedBy>Avshi Sapir</cp:lastModifiedBy>
  <dcterms:created xsi:type="dcterms:W3CDTF">2022-11-22T08:23:27Z</dcterms:created>
  <dcterms:modified xsi:type="dcterms:W3CDTF">2026-02-17T04:41:12Z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0x010100C925EFAE8F3E1B4F9B91347709149CBF</vt:lpwstr>
  </property>
</Properties>
</file>